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13695" windowHeight="9645" activeTab="3"/>
  </bookViews>
  <sheets>
    <sheet name="Complaints_Data" sheetId="1" r:id="rId1"/>
    <sheet name="Sheet1" sheetId="2" r:id="rId2"/>
    <sheet name="Sheet2" sheetId="4" r:id="rId3"/>
    <sheet name="Dashboard" sheetId="3" r:id="rId4"/>
  </sheets>
  <definedNames>
    <definedName name="Slicer_Complaint_Status">#N/A</definedName>
    <definedName name="Slicer_Priority">#N/A</definedName>
    <definedName name="Slicer_State">#N/A</definedName>
  </definedNames>
  <calcPr calcId="152511"/>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P4" i="1" l="1"/>
  <c r="P3" i="1"/>
  <c r="P2" i="1"/>
</calcChain>
</file>

<file path=xl/sharedStrings.xml><?xml version="1.0" encoding="utf-8"?>
<sst xmlns="http://schemas.openxmlformats.org/spreadsheetml/2006/main" count="135" uniqueCount="83">
  <si>
    <t>Complaint_ID</t>
  </si>
  <si>
    <t>Customer_Name</t>
  </si>
  <si>
    <t>Age</t>
  </si>
  <si>
    <t>Gender</t>
  </si>
  <si>
    <t>City</t>
  </si>
  <si>
    <t>State</t>
  </si>
  <si>
    <t>Product_Category</t>
  </si>
  <si>
    <t>Complaint_Type</t>
  </si>
  <si>
    <t>Complaint_Date</t>
  </si>
  <si>
    <t>Resolution_Date</t>
  </si>
  <si>
    <t>Complaint_Status</t>
  </si>
  <si>
    <t>Priority</t>
  </si>
  <si>
    <t>Rating</t>
  </si>
  <si>
    <t>Resolution_Time</t>
  </si>
  <si>
    <t>Rahul Sharma</t>
  </si>
  <si>
    <t>Male</t>
  </si>
  <si>
    <t>Delhi</t>
  </si>
  <si>
    <t>Electronics</t>
  </si>
  <si>
    <t>Delivery Delay</t>
  </si>
  <si>
    <t>2025-01-01</t>
  </si>
  <si>
    <t>2025-01-05</t>
  </si>
  <si>
    <t>Closed</t>
  </si>
  <si>
    <t>High</t>
  </si>
  <si>
    <t>Priya Verma</t>
  </si>
  <si>
    <t>Female</t>
  </si>
  <si>
    <t>Mumbai</t>
  </si>
  <si>
    <t>Maharashtra</t>
  </si>
  <si>
    <t>Banking</t>
  </si>
  <si>
    <t>Payment Issue</t>
  </si>
  <si>
    <t>2025-01-02</t>
  </si>
  <si>
    <t>2025-01-06</t>
  </si>
  <si>
    <t>Medium</t>
  </si>
  <si>
    <t>Amit Kumar</t>
  </si>
  <si>
    <t>Patna</t>
  </si>
  <si>
    <t>Bihar</t>
  </si>
  <si>
    <t>Damaged Product</t>
  </si>
  <si>
    <t>2025-01-03</t>
  </si>
  <si>
    <t>2025-01-10</t>
  </si>
  <si>
    <t>Sneha Gupta</t>
  </si>
  <si>
    <t>Jaipur</t>
  </si>
  <si>
    <t>Rajasthan</t>
  </si>
  <si>
    <t>E-commerce</t>
  </si>
  <si>
    <t>Wrong Item</t>
  </si>
  <si>
    <t>2025-01-04</t>
  </si>
  <si>
    <t>2025-01-08</t>
  </si>
  <si>
    <t>Vikas Singh</t>
  </si>
  <si>
    <t>Lucknow</t>
  </si>
  <si>
    <t>Uttar Pradesh</t>
  </si>
  <si>
    <t>Transaction Failed</t>
  </si>
  <si>
    <t>2025-01-12</t>
  </si>
  <si>
    <t>Pending</t>
  </si>
  <si>
    <t>Anjali Mehta</t>
  </si>
  <si>
    <t>Chandigarh</t>
  </si>
  <si>
    <t>Punjab</t>
  </si>
  <si>
    <t>Warranty Issue</t>
  </si>
  <si>
    <t>2025-01-09</t>
  </si>
  <si>
    <t>Low</t>
  </si>
  <si>
    <t>Rohit Jain</t>
  </si>
  <si>
    <t>Bhopal</t>
  </si>
  <si>
    <t>Madhya Pradesh</t>
  </si>
  <si>
    <t>Refund Delay</t>
  </si>
  <si>
    <t>2025-01-07</t>
  </si>
  <si>
    <t>2025-01-15</t>
  </si>
  <si>
    <t>Open</t>
  </si>
  <si>
    <t>Kavya Nair</t>
  </si>
  <si>
    <t>Kochi</t>
  </si>
  <si>
    <t>Kerala</t>
  </si>
  <si>
    <t>Installation Issue</t>
  </si>
  <si>
    <t>2025-01-11</t>
  </si>
  <si>
    <t>Arjun Patel</t>
  </si>
  <si>
    <t>Ahmedabad</t>
  </si>
  <si>
    <t>Gujarat</t>
  </si>
  <si>
    <t>Card Blocked</t>
  </si>
  <si>
    <t>2025-01-13</t>
  </si>
  <si>
    <t>Neha Kapoor</t>
  </si>
  <si>
    <t>2025-01-18</t>
  </si>
  <si>
    <t>Row Labels</t>
  </si>
  <si>
    <t>Grand Total</t>
  </si>
  <si>
    <t>Count of Complaint_ID</t>
  </si>
  <si>
    <t>Sum of Complaint_ID</t>
  </si>
  <si>
    <t>Total Complaints</t>
  </si>
  <si>
    <t>Average Rating</t>
  </si>
  <si>
    <t>Max Resolution Time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</si>
</sst>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name val="Calibri"/>
    </font>
    <font>
      <sz val="11"/>
      <color rgb="FF002060"/>
      <name val="Calibri"/>
      <family val="2"/>
      <scheme val="minor"/>
    </font>
    <font>
      <b/>
      <sz val="11"/>
      <color rgb="FF002060"/>
      <name val="Calibri"/>
      <family val="2"/>
      <scheme val="minor"/>
    </font>
    <font>
      <b/>
      <sz val="16"/>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applyAlignment="1">
      <alignment horizontal="center"/>
    </xf>
    <xf numFmtId="0" fontId="0" fillId="2" borderId="0" xfId="0" applyFill="1"/>
    <xf numFmtId="0" fontId="4" fillId="3" borderId="0" xfId="0" applyFont="1" applyFill="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Complaints by State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Sheet1!$B$3</c:f>
              <c:strCache>
                <c:ptCount val="1"/>
                <c:pt idx="0">
                  <c:v>Total</c:v>
                </c:pt>
              </c:strCache>
            </c:strRef>
          </c:tx>
          <c:spPr>
            <a:solidFill>
              <a:schemeClr val="accent1"/>
            </a:solidFill>
            <a:ln>
              <a:noFill/>
            </a:ln>
            <a:effectLst/>
          </c:spPr>
          <c:invertIfNegative val="0"/>
          <c:cat>
            <c:strRef>
              <c:f>Sheet1!$A$4:$A$13</c:f>
              <c:strCache>
                <c:ptCount val="9"/>
                <c:pt idx="0">
                  <c:v>Bihar</c:v>
                </c:pt>
                <c:pt idx="1">
                  <c:v>Delhi</c:v>
                </c:pt>
                <c:pt idx="2">
                  <c:v>Gujarat</c:v>
                </c:pt>
                <c:pt idx="3">
                  <c:v>Kerala</c:v>
                </c:pt>
                <c:pt idx="4">
                  <c:v>Madhya Pradesh</c:v>
                </c:pt>
                <c:pt idx="5">
                  <c:v>Maharashtra</c:v>
                </c:pt>
                <c:pt idx="6">
                  <c:v>Punjab</c:v>
                </c:pt>
                <c:pt idx="7">
                  <c:v>Rajasthan</c:v>
                </c:pt>
                <c:pt idx="8">
                  <c:v>Uttar Pradesh</c:v>
                </c:pt>
              </c:strCache>
            </c:strRef>
          </c:cat>
          <c:val>
            <c:numRef>
              <c:f>Sheet1!$B$4:$B$13</c:f>
              <c:numCache>
                <c:formatCode>General</c:formatCode>
                <c:ptCount val="9"/>
                <c:pt idx="0">
                  <c:v>1</c:v>
                </c:pt>
                <c:pt idx="1">
                  <c:v>2</c:v>
                </c:pt>
                <c:pt idx="2">
                  <c:v>1</c:v>
                </c:pt>
                <c:pt idx="3">
                  <c:v>1</c:v>
                </c:pt>
                <c:pt idx="4">
                  <c:v>1</c:v>
                </c:pt>
                <c:pt idx="5">
                  <c:v>1</c:v>
                </c:pt>
                <c:pt idx="6">
                  <c:v>1</c:v>
                </c:pt>
                <c:pt idx="7">
                  <c:v>1</c:v>
                </c:pt>
                <c:pt idx="8">
                  <c:v>1</c:v>
                </c:pt>
              </c:numCache>
            </c:numRef>
          </c:val>
        </c:ser>
        <c:dLbls>
          <c:showLegendKey val="0"/>
          <c:showVal val="0"/>
          <c:showCatName val="0"/>
          <c:showSerName val="0"/>
          <c:showPercent val="0"/>
          <c:showBubbleSize val="0"/>
        </c:dLbls>
        <c:gapWidth val="150"/>
        <c:overlap val="100"/>
        <c:axId val="-1671822736"/>
        <c:axId val="-1671822192"/>
      </c:barChart>
      <c:catAx>
        <c:axId val="-167182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822192"/>
        <c:crosses val="autoZero"/>
        <c:auto val="1"/>
        <c:lblAlgn val="ctr"/>
        <c:lblOffset val="100"/>
        <c:noMultiLvlLbl val="0"/>
      </c:catAx>
      <c:valAx>
        <c:axId val="-167182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822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[customer_complaints.xlsx]Sheet2!PivotTable4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Complaint Status Distribution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Sheet2!$A$4:$A$7</c:f>
              <c:strCache>
                <c:ptCount val="3"/>
                <c:pt idx="0">
                  <c:v>Closed</c:v>
                </c:pt>
                <c:pt idx="1">
                  <c:v>Open</c:v>
                </c:pt>
                <c:pt idx="2">
                  <c:v>Pending</c:v>
                </c:pt>
              </c:strCache>
            </c:strRef>
          </c:cat>
          <c:val>
            <c:numRef>
              <c:f>Sheet2!$B$4:$B$7</c:f>
              <c:numCache>
                <c:formatCode>General</c:formatCode>
                <c:ptCount val="3"/>
                <c:pt idx="0">
                  <c:v>7033</c:v>
                </c:pt>
                <c:pt idx="1">
                  <c:v>1007</c:v>
                </c:pt>
                <c:pt idx="2">
                  <c:v>2015</c:v>
                </c:pt>
              </c:numCache>
            </c:numRef>
          </c:val>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[customer_complaints.xlsx]Sheet1!PivotTable1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Complaints by State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Sheet1!$B$3</c:f>
              <c:strCache>
                <c:ptCount val="1"/>
                <c:pt idx="0">
                  <c:v>Total</c:v>
                </c:pt>
              </c:strCache>
            </c:strRef>
          </c:tx>
          <c:spPr>
            <a:solidFill>
              <a:schemeClr val="accent1"/>
            </a:solidFill>
            <a:ln>
              <a:noFill/>
            </a:ln>
            <a:effectLst/>
          </c:spPr>
          <c:invertIfNegative val="0"/>
          <c:cat>
            <c:strRef>
              <c:f>Sheet1!$A$4:$A$13</c:f>
              <c:strCache>
                <c:ptCount val="9"/>
                <c:pt idx="0">
                  <c:v>Bihar</c:v>
                </c:pt>
                <c:pt idx="1">
                  <c:v>Delhi</c:v>
                </c:pt>
                <c:pt idx="2">
                  <c:v>Gujarat</c:v>
                </c:pt>
                <c:pt idx="3">
                  <c:v>Kerala</c:v>
                </c:pt>
                <c:pt idx="4">
                  <c:v>Madhya Pradesh</c:v>
                </c:pt>
                <c:pt idx="5">
                  <c:v>Maharashtra</c:v>
                </c:pt>
                <c:pt idx="6">
                  <c:v>Punjab</c:v>
                </c:pt>
                <c:pt idx="7">
                  <c:v>Rajasthan</c:v>
                </c:pt>
                <c:pt idx="8">
                  <c:v>Uttar Pradesh</c:v>
                </c:pt>
              </c:strCache>
            </c:strRef>
          </c:cat>
          <c:val>
            <c:numRef>
              <c:f>Sheet1!$B$4:$B$13</c:f>
              <c:numCache>
                <c:formatCode>General</c:formatCode>
                <c:ptCount val="9"/>
                <c:pt idx="0">
                  <c:v>1</c:v>
                </c:pt>
                <c:pt idx="1">
                  <c:v>2</c:v>
                </c:pt>
                <c:pt idx="2">
                  <c:v>1</c:v>
                </c:pt>
                <c:pt idx="3">
                  <c:v>1</c:v>
                </c:pt>
                <c:pt idx="4">
                  <c:v>1</c:v>
                </c:pt>
                <c:pt idx="5">
                  <c:v>1</c:v>
                </c:pt>
                <c:pt idx="6">
                  <c:v>1</c:v>
                </c:pt>
                <c:pt idx="7">
                  <c:v>1</c:v>
                </c:pt>
                <c:pt idx="8">
                  <c:v>1</c:v>
                </c:pt>
              </c:numCache>
            </c:numRef>
          </c:val>
        </c:ser>
        <c:dLbls>
          <c:showLegendKey val="0"/>
          <c:showVal val="0"/>
          <c:showCatName val="0"/>
          <c:showSerName val="0"/>
          <c:showPercent val="0"/>
          <c:showBubbleSize val="0"/>
        </c:dLbls>
        <c:gapWidth val="150"/>
        <c:overlap val="100"/>
        <c:axId val="-1597977104"/>
        <c:axId val="-1597975472"/>
      </c:barChart>
      <c:catAx>
        <c:axId val="-159797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75472"/>
        <c:crosses val="autoZero"/>
        <c:auto val="1"/>
        <c:lblAlgn val="ctr"/>
        <c:lblOffset val="100"/>
        <c:noMultiLvlLbl val="0"/>
      </c:catAx>
      <c:valAx>
        <c:axId val="-159797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77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[customer_complaints.xlsx]Sheet2!PivotTable4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Complaint Status Distribution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Sheet2!$A$4:$A$7</c:f>
              <c:strCache>
                <c:ptCount val="3"/>
                <c:pt idx="0">
                  <c:v>Closed</c:v>
                </c:pt>
                <c:pt idx="1">
                  <c:v>Open</c:v>
                </c:pt>
                <c:pt idx="2">
                  <c:v>Pending</c:v>
                </c:pt>
              </c:strCache>
            </c:strRef>
          </c:cat>
          <c:val>
            <c:numRef>
              <c:f>Sheet2!$B$4:$B$7</c:f>
              <c:numCache>
                <c:formatCode>General</c:formatCode>
                <c:ptCount val="3"/>
                <c:pt idx="0">
                  <c:v>7033</c:v>
                </c:pt>
                <c:pt idx="1">
                  <c:v>1007</c:v>
                </c:pt>
                <c:pt idx="2">
                  <c:v>2015</c:v>
                </c:pt>
              </c:numCache>
            </c:numRef>
          </c:val>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600075</xdr:colOff>
      <xdr:row>15</xdr:row>
      <xdr:rowOff>180975</xdr:rowOff>
    </xdr:from>
    <xdr:to>
      <xdr:col>14</xdr:col>
      <xdr:colOff>295275</xdr:colOff>
      <xdr:row>30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1</xdr:row>
      <xdr:rowOff>66675</xdr:rowOff>
    </xdr:from>
    <xdr:to>
      <xdr:col>6</xdr:col>
      <xdr:colOff>190500</xdr:colOff>
      <xdr:row>14</xdr:row>
      <xdr:rowOff>114300</xdr:rowOff>
    </xdr:to>
    <mc:AlternateContent xmlns:mc="http://schemas.openxmlformats.org/markup-compatibility/2006" xmlns:a14="http://schemas.microsoft.com/office/drawing/2010/main">
      <mc:Choice Requires="a14">
        <xdr:graphicFrame macro="">
          <xdr:nvGraphicFramePr>
            <xdr:cNvPr id="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276600" y="257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171450</xdr:colOff>
      <xdr:row>1</xdr:row>
      <xdr:rowOff>19050</xdr:rowOff>
    </xdr:from>
    <xdr:to>
      <xdr:col>10</xdr:col>
      <xdr:colOff>171450</xdr:colOff>
      <xdr:row>14</xdr:row>
      <xdr:rowOff>66675</xdr:rowOff>
    </xdr:to>
    <mc:AlternateContent xmlns:mc="http://schemas.openxmlformats.org/markup-compatibility/2006" xmlns:a14="http://schemas.microsoft.com/office/drawing/2010/main">
      <mc:Choice Requires="a14">
        <xdr:graphicFrame macro="">
          <xdr:nvGraphicFramePr>
            <xdr:cNvPr id="4" name="Complaint_Status"/>
            <xdr:cNvGraphicFramePr/>
          </xdr:nvGraphicFramePr>
          <xdr:xfrm>
            <a:off x="0" y="0"/>
            <a:ext cx="0" cy="0"/>
          </xdr:xfrm>
          <a:graphic>
            <a:graphicData uri="http://schemas.microsoft.com/office/drawing/2010/slicer">
              <sle:slicer xmlns:sle="http://schemas.microsoft.com/office/drawing/2010/slicer" name="Complaint_Status"/>
            </a:graphicData>
          </a:graphic>
        </xdr:graphicFrame>
      </mc:Choice>
      <mc:Fallback xmlns="">
        <xdr:sp macro="" textlink="">
          <xdr:nvSpPr>
            <xdr:cNvPr id="0" name=""/>
            <xdr:cNvSpPr>
              <a:spLocks noTextEdit="1"/>
            </xdr:cNvSpPr>
          </xdr:nvSpPr>
          <xdr:spPr>
            <a:xfrm>
              <a:off x="5695950" y="20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1</xdr:row>
      <xdr:rowOff>47625</xdr:rowOff>
    </xdr:from>
    <xdr:to>
      <xdr:col>13</xdr:col>
      <xdr:colOff>457200</xdr:colOff>
      <xdr:row>14</xdr:row>
      <xdr:rowOff>95250</xdr:rowOff>
    </xdr:to>
    <mc:AlternateContent xmlns:mc="http://schemas.openxmlformats.org/markup-compatibility/2006" xmlns:a14="http://schemas.microsoft.com/office/drawing/2010/main">
      <mc:Choice Requires="a14">
        <xdr:graphicFrame macro="">
          <xdr:nvGraphicFramePr>
            <xdr:cNvPr id="5" name="Priority"/>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7810500"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266700</xdr:colOff>
      <xdr:row>15</xdr:row>
      <xdr:rowOff>180975</xdr:rowOff>
    </xdr:from>
    <xdr:to>
      <xdr:col>14</xdr:col>
      <xdr:colOff>571500</xdr:colOff>
      <xdr:row>30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381001</xdr:colOff>
      <xdr:row>4</xdr:row>
      <xdr:rowOff>133350</xdr:rowOff>
    </xdr:from>
    <xdr:to>
      <xdr:col>4</xdr:col>
      <xdr:colOff>1333501</xdr:colOff>
      <xdr:row>18</xdr:row>
      <xdr:rowOff>76200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4</xdr:row>
      <xdr:rowOff>19050</xdr:rowOff>
    </xdr:from>
    <xdr:to>
      <xdr:col>10</xdr:col>
      <xdr:colOff>190500</xdr:colOff>
      <xdr:row>18</xdr:row>
      <xdr:rowOff>95250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164.91267002315" createdVersion="5" refreshedVersion="5" minRefreshableVersion="3" recordCount="11">
  <cacheSource type="worksheet">
    <worksheetSource ref="A1:N1048576" sheet="Complaints_Data"/>
  </cacheSource>
  <cacheFields count="14">
    <cacheField name="Complaint_ID" numFmtId="0">
      <sharedItems containsString="0" containsBlank="1" containsNumber="1" containsInteger="1" minValue="1001" maxValue="1010"/>
    </cacheField>
    <cacheField name="Customer_Name" numFmtId="0">
      <sharedItems containsBlank="1"/>
    </cacheField>
    <cacheField name="Age" numFmtId="0">
      <sharedItems containsString="0" containsBlank="1" containsNumber="1" containsInteger="1" minValue="22" maxValue="35"/>
    </cacheField>
    <cacheField name="Gender" numFmtId="0">
      <sharedItems containsBlank="1"/>
    </cacheField>
    <cacheField name="City" numFmtId="0">
      <sharedItems containsBlank="1"/>
    </cacheField>
    <cacheField name="State" numFmtId="0">
      <sharedItems containsBlank="1" count="10">
        <s v="Delhi"/>
        <s v="Maharashtra"/>
        <s v="Bihar"/>
        <s v="Rajasthan"/>
        <s v="Uttar Pradesh"/>
        <s v="Punjab"/>
        <s v="Madhya Pradesh"/>
        <s v="Kerala"/>
        <s v="Gujarat"/>
        <m/>
      </sharedItems>
    </cacheField>
    <cacheField name="Product_Category" numFmtId="0">
      <sharedItems containsBlank="1"/>
    </cacheField>
    <cacheField name="Complaint_Type" numFmtId="0">
      <sharedItems containsBlank="1"/>
    </cacheField>
    <cacheField name="Complaint_Date" numFmtId="0">
      <sharedItems containsBlank="1"/>
    </cacheField>
    <cacheField name="Resolution_Date" numFmtId="0">
      <sharedItems containsBlank="1"/>
    </cacheField>
    <cacheField name="Complaint_Status" numFmtId="0">
      <sharedItems containsBlank="1" count="4">
        <s v="Closed"/>
        <s v="Pending"/>
        <s v="Open"/>
        <m/>
      </sharedItems>
    </cacheField>
    <cacheField name="Priority" numFmtId="0">
      <sharedItems containsBlank="1" count="4">
        <s v="High"/>
        <s v="Medium"/>
        <s v="Low"/>
        <m/>
      </sharedItems>
    </cacheField>
    <cacheField name="Rating" numFmtId="0">
      <sharedItems containsString="0" containsBlank="1" containsNumber="1" containsInteger="1" minValue="1" maxValue="4"/>
    </cacheField>
    <cacheField name="Resolution_Time" numFmtId="0">
      <sharedItems containsString="0" containsBlank="1" containsNumber="1" containsInteger="1" minValue="3" maxValue="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64.931318981478" createdVersion="5" refreshedVersion="5" minRefreshableVersion="3" recordCount="10">
  <cacheSource type="worksheet">
    <worksheetSource name="ComplaintsTable"/>
  </cacheSource>
  <cacheFields count="14">
    <cacheField name="Complaint_ID" numFmtId="0">
      <sharedItems containsSemiMixedTypes="0" containsString="0" containsNumber="1" containsInteger="1" minValue="1001" maxValue="1010"/>
    </cacheField>
    <cacheField name="Customer_Name" numFmtId="0">
      <sharedItems/>
    </cacheField>
    <cacheField name="Age" numFmtId="0">
      <sharedItems containsSemiMixedTypes="0" containsString="0" containsNumber="1" containsInteger="1" minValue="22" maxValue="35"/>
    </cacheField>
    <cacheField name="Gender" numFmtId="0">
      <sharedItems/>
    </cacheField>
    <cacheField name="City" numFmtId="0">
      <sharedItems/>
    </cacheField>
    <cacheField name="State" numFmtId="0">
      <sharedItems/>
    </cacheField>
    <cacheField name="Product_Category" numFmtId="0">
      <sharedItems/>
    </cacheField>
    <cacheField name="Complaint_Type" numFmtId="0">
      <sharedItems/>
    </cacheField>
    <cacheField name="Complaint_Date" numFmtId="0">
      <sharedItems/>
    </cacheField>
    <cacheField name="Resolution_Date" numFmtId="0">
      <sharedItems/>
    </cacheField>
    <cacheField name="Complaint_Status" numFmtId="0">
      <sharedItems count="3">
        <s v="Closed"/>
        <s v="Pending"/>
        <s v="Open"/>
      </sharedItems>
    </cacheField>
    <cacheField name="Priority" numFmtId="0">
      <sharedItems/>
    </cacheField>
    <cacheField name="Rating" numFmtId="0">
      <sharedItems containsSemiMixedTypes="0" containsString="0" containsNumber="1" containsInteger="1" minValue="1" maxValue="4"/>
    </cacheField>
    <cacheField name="Resolution_Time" numFmtId="0">
      <sharedItems containsSemiMixedTypes="0" containsString="0" containsNumber="1" containsInteger="1" minValue="3" maxValue="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
  <r>
    <n v="1001"/>
    <s v="Rahul Sharma"/>
    <n v="25"/>
    <s v="Male"/>
    <s v="Delhi"/>
    <x v="0"/>
    <s v="Electronics"/>
    <s v="Delivery Delay"/>
    <s v="2025-01-01"/>
    <s v="2025-01-05"/>
    <x v="0"/>
    <x v="0"/>
    <n v="2"/>
    <n v="4"/>
  </r>
  <r>
    <n v="1002"/>
    <s v="Priya Verma"/>
    <n v="30"/>
    <s v="Female"/>
    <s v="Mumbai"/>
    <x v="1"/>
    <s v="Banking"/>
    <s v="Payment Issue"/>
    <s v="2025-01-02"/>
    <s v="2025-01-06"/>
    <x v="0"/>
    <x v="1"/>
    <n v="3"/>
    <n v="4"/>
  </r>
  <r>
    <n v="1003"/>
    <s v="Amit Kumar"/>
    <n v="22"/>
    <s v="Male"/>
    <s v="Patna"/>
    <x v="2"/>
    <s v="Electronics"/>
    <s v="Damaged Product"/>
    <s v="2025-01-03"/>
    <s v="2025-01-10"/>
    <x v="0"/>
    <x v="0"/>
    <n v="1"/>
    <n v="7"/>
  </r>
  <r>
    <n v="1004"/>
    <s v="Sneha Gupta"/>
    <n v="27"/>
    <s v="Female"/>
    <s v="Jaipur"/>
    <x v="3"/>
    <s v="E-commerce"/>
    <s v="Wrong Item"/>
    <s v="2025-01-04"/>
    <s v="2025-01-08"/>
    <x v="0"/>
    <x v="1"/>
    <n v="2"/>
    <n v="4"/>
  </r>
  <r>
    <n v="1005"/>
    <s v="Vikas Singh"/>
    <n v="35"/>
    <s v="Male"/>
    <s v="Lucknow"/>
    <x v="4"/>
    <s v="Banking"/>
    <s v="Transaction Failed"/>
    <s v="2025-01-05"/>
    <s v="2025-01-12"/>
    <x v="1"/>
    <x v="0"/>
    <n v="2"/>
    <n v="7"/>
  </r>
  <r>
    <n v="1006"/>
    <s v="Anjali Mehta"/>
    <n v="29"/>
    <s v="Female"/>
    <s v="Chandigarh"/>
    <x v="5"/>
    <s v="Electronics"/>
    <s v="Warranty Issue"/>
    <s v="2025-01-06"/>
    <s v="2025-01-09"/>
    <x v="0"/>
    <x v="2"/>
    <n v="4"/>
    <n v="3"/>
  </r>
  <r>
    <n v="1007"/>
    <s v="Rohit Jain"/>
    <n v="31"/>
    <s v="Male"/>
    <s v="Bhopal"/>
    <x v="6"/>
    <s v="E-commerce"/>
    <s v="Refund Delay"/>
    <s v="2025-01-07"/>
    <s v="2025-01-15"/>
    <x v="2"/>
    <x v="0"/>
    <n v="1"/>
    <n v="8"/>
  </r>
  <r>
    <n v="1008"/>
    <s v="Kavya Nair"/>
    <n v="26"/>
    <s v="Female"/>
    <s v="Kochi"/>
    <x v="7"/>
    <s v="Electronics"/>
    <s v="Installation Issue"/>
    <s v="2025-01-08"/>
    <s v="2025-01-11"/>
    <x v="0"/>
    <x v="1"/>
    <n v="3"/>
    <n v="3"/>
  </r>
  <r>
    <n v="1009"/>
    <s v="Arjun Patel"/>
    <n v="28"/>
    <s v="Male"/>
    <s v="Ahmedabad"/>
    <x v="8"/>
    <s v="Banking"/>
    <s v="Card Blocked"/>
    <s v="2025-01-09"/>
    <s v="2025-01-13"/>
    <x v="0"/>
    <x v="2"/>
    <n v="4"/>
    <n v="4"/>
  </r>
  <r>
    <n v="1010"/>
    <s v="Neha Kapoor"/>
    <n v="24"/>
    <s v="Female"/>
    <s v="Delhi"/>
    <x v="0"/>
    <s v="E-commerce"/>
    <s v="Delivery Delay"/>
    <s v="2025-01-10"/>
    <s v="2025-01-18"/>
    <x v="1"/>
    <x v="0"/>
    <n v="1"/>
    <n v="8"/>
  </r>
  <r>
    <m/>
    <m/>
    <m/>
    <m/>
    <m/>
    <x v="9"/>
    <m/>
    <m/>
    <m/>
    <m/>
    <x v="3"/>
    <x v="3"/>
    <m/>
    <m/>
  </r>
</pivotCacheRecords>
</file>

<file path=xl/pivotCache/pivotCacheRecords2.xml><?xml version="1.0" encoding="utf-8"?>
<pivotCacheRecords xmlns="http://schemas.openxmlformats.org/spreadsheetml/2006/main" xmlns:r="http://schemas.openxmlformats.org/officeDocument/2006/relationships" count="10">
  <r>
    <n v="1001"/>
    <s v="Rahul Sharma"/>
    <n v="25"/>
    <s v="Male"/>
    <s v="Delhi"/>
    <s v="Delhi"/>
    <s v="Electronics"/>
    <s v="Delivery Delay"/>
    <s v="2025-01-01"/>
    <s v="2025-01-05"/>
    <x v="0"/>
    <s v="High"/>
    <n v="2"/>
    <n v="4"/>
  </r>
  <r>
    <n v="1002"/>
    <s v="Priya Verma"/>
    <n v="30"/>
    <s v="Female"/>
    <s v="Mumbai"/>
    <s v="Maharashtra"/>
    <s v="Banking"/>
    <s v="Payment Issue"/>
    <s v="2025-01-02"/>
    <s v="2025-01-06"/>
    <x v="0"/>
    <s v="Medium"/>
    <n v="3"/>
    <n v="4"/>
  </r>
  <r>
    <n v="1003"/>
    <s v="Amit Kumar"/>
    <n v="22"/>
    <s v="Male"/>
    <s v="Patna"/>
    <s v="Bihar"/>
    <s v="Electronics"/>
    <s v="Damaged Product"/>
    <s v="2025-01-03"/>
    <s v="2025-01-10"/>
    <x v="0"/>
    <s v="High"/>
    <n v="1"/>
    <n v="7"/>
  </r>
  <r>
    <n v="1004"/>
    <s v="Sneha Gupta"/>
    <n v="27"/>
    <s v="Female"/>
    <s v="Jaipur"/>
    <s v="Rajasthan"/>
    <s v="E-commerce"/>
    <s v="Wrong Item"/>
    <s v="2025-01-04"/>
    <s v="2025-01-08"/>
    <x v="0"/>
    <s v="Medium"/>
    <n v="2"/>
    <n v="4"/>
  </r>
  <r>
    <n v="1005"/>
    <s v="Vikas Singh"/>
    <n v="35"/>
    <s v="Male"/>
    <s v="Lucknow"/>
    <s v="Uttar Pradesh"/>
    <s v="Banking"/>
    <s v="Transaction Failed"/>
    <s v="2025-01-05"/>
    <s v="2025-01-12"/>
    <x v="1"/>
    <s v="High"/>
    <n v="2"/>
    <n v="7"/>
  </r>
  <r>
    <n v="1006"/>
    <s v="Anjali Mehta"/>
    <n v="29"/>
    <s v="Female"/>
    <s v="Chandigarh"/>
    <s v="Punjab"/>
    <s v="Electronics"/>
    <s v="Warranty Issue"/>
    <s v="2025-01-06"/>
    <s v="2025-01-09"/>
    <x v="0"/>
    <s v="Low"/>
    <n v="4"/>
    <n v="3"/>
  </r>
  <r>
    <n v="1007"/>
    <s v="Rohit Jain"/>
    <n v="31"/>
    <s v="Male"/>
    <s v="Bhopal"/>
    <s v="Madhya Pradesh"/>
    <s v="E-commerce"/>
    <s v="Refund Delay"/>
    <s v="2025-01-07"/>
    <s v="2025-01-15"/>
    <x v="2"/>
    <s v="High"/>
    <n v="1"/>
    <n v="8"/>
  </r>
  <r>
    <n v="1008"/>
    <s v="Kavya Nair"/>
    <n v="26"/>
    <s v="Female"/>
    <s v="Kochi"/>
    <s v="Kerala"/>
    <s v="Electronics"/>
    <s v="Installation Issue"/>
    <s v="2025-01-08"/>
    <s v="2025-01-11"/>
    <x v="0"/>
    <s v="Medium"/>
    <n v="3"/>
    <n v="3"/>
  </r>
  <r>
    <n v="1009"/>
    <s v="Arjun Patel"/>
    <n v="28"/>
    <s v="Male"/>
    <s v="Ahmedabad"/>
    <s v="Gujarat"/>
    <s v="Banking"/>
    <s v="Card Blocked"/>
    <s v="2025-01-09"/>
    <s v="2025-01-13"/>
    <x v="0"/>
    <s v="Low"/>
    <n v="4"/>
    <n v="4"/>
  </r>
  <r>
    <n v="1010"/>
    <s v="Neha Kapoor"/>
    <n v="24"/>
    <s v="Female"/>
    <s v="Delhi"/>
    <s v="Delhi"/>
    <s v="E-commerce"/>
    <s v="Delivery Delay"/>
    <s v="2025-01-10"/>
    <s v="2025-01-18"/>
    <x v="1"/>
    <s v="High"/>
    <n v="1"/>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3" firstHeaderRow="1" firstDataRow="1" firstDataCol="1"/>
  <pivotFields count="14">
    <pivotField dataField="1" showAll="0"/>
    <pivotField showAll="0"/>
    <pivotField showAll="0"/>
    <pivotField showAll="0"/>
    <pivotField showAll="0"/>
    <pivotField axis="axisRow" showAll="0">
      <items count="11">
        <item x="2"/>
        <item x="0"/>
        <item x="8"/>
        <item x="7"/>
        <item x="6"/>
        <item x="1"/>
        <item x="5"/>
        <item x="3"/>
        <item x="4"/>
        <item h="1" x="9"/>
        <item t="default"/>
      </items>
    </pivotField>
    <pivotField showAll="0"/>
    <pivotField showAll="0"/>
    <pivotField showAll="0"/>
    <pivotField showAll="0"/>
    <pivotField showAll="0">
      <items count="5">
        <item x="0"/>
        <item x="2"/>
        <item x="1"/>
        <item x="3"/>
        <item t="default"/>
      </items>
    </pivotField>
    <pivotField showAll="0">
      <items count="5">
        <item x="0"/>
        <item x="2"/>
        <item x="1"/>
        <item x="3"/>
        <item t="default"/>
      </items>
    </pivotField>
    <pivotField showAll="0"/>
    <pivotField showAll="0"/>
  </pivotFields>
  <rowFields count="1">
    <field x="5"/>
  </rowFields>
  <rowItems count="10">
    <i>
      <x/>
    </i>
    <i>
      <x v="1"/>
    </i>
    <i>
      <x v="2"/>
    </i>
    <i>
      <x v="3"/>
    </i>
    <i>
      <x v="4"/>
    </i>
    <i>
      <x v="5"/>
    </i>
    <i>
      <x v="6"/>
    </i>
    <i>
      <x v="7"/>
    </i>
    <i>
      <x v="8"/>
    </i>
    <i t="grand">
      <x/>
    </i>
  </rowItems>
  <colItems count="1">
    <i/>
  </colItems>
  <dataFields count="1">
    <dataField name="Count of Complai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7"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Sum of Complaint_ID" fld="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 chart="3" format="7">
      <pivotArea type="data" outline="0" fieldPosition="0">
        <references count="2">
          <reference field="4294967294" count="1" selected="0">
            <x v="0"/>
          </reference>
          <reference field="1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PivotTable1"/>
  </pivotTables>
  <data>
    <tabular pivotCacheId="1">
      <items count="10">
        <i x="2" s="1"/>
        <i x="0" s="1"/>
        <i x="8" s="1"/>
        <i x="7" s="1"/>
        <i x="6" s="1"/>
        <i x="1" s="1"/>
        <i x="5" s="1"/>
        <i x="3" s="1"/>
        <i x="4" s="1"/>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mplaint_Status" sourceName="Complaint_Status">
  <pivotTables>
    <pivotTable tabId="2" name="PivotTable1"/>
  </pivotTables>
  <data>
    <tabular pivotCacheId="1">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iority" sourceName="Priority">
  <pivotTables>
    <pivotTable tabId="2" name="PivotTable1"/>
  </pivotTables>
  <data>
    <tabular pivotCacheId="1">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Complaint_Status" cache="Slicer_Complaint_Status" caption="Complaint_Status" rowHeight="241300"/>
  <slicer name="Priority" cache="Slicer_Priority" caption="Priority" rowHeight="241300"/>
</slicers>
</file>

<file path=xl/tables/table1.xml><?xml version="1.0" encoding="utf-8"?>
<table xmlns="http://schemas.openxmlformats.org/spreadsheetml/2006/main" id="1" name="ComplaintsTable" displayName="ComplaintsTable" ref="A1:N11">
  <autoFilter ref="A1:N11">
    <filterColumn colId="10">
      <filters>
        <filter val="Open"/>
      </filters>
    </filterColumn>
    <filterColumn colId="11">
      <filters>
        <filter val="High"/>
      </filters>
    </filterColumn>
  </autoFilter>
  <tableColumns count="14">
    <tableColumn id="1" name="Complaint_ID"/>
    <tableColumn id="2" name="Customer_Name"/>
    <tableColumn id="3" name="Age"/>
    <tableColumn id="4" name="Gender"/>
    <tableColumn id="5" name="City"/>
    <tableColumn id="6" name="State"/>
    <tableColumn id="7" name="Product_Category"/>
    <tableColumn id="8" name="Complaint_Type"/>
    <tableColumn id="9" name="Complaint_Date"/>
    <tableColumn id="10" name="Resolution_Date"/>
    <tableColumn id="11" name="Complaint_Status"/>
    <tableColumn id="12" name="Priority"/>
    <tableColumn id="13" name="Rating"/>
    <tableColumn id="14" name="Resolution_Time"/>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selection activeCell="S12" sqref="S12"/>
    </sheetView>
  </sheetViews>
  <sheetFormatPr defaultRowHeight="15" x14ac:dyDescent="0.25"/>
  <cols>
    <col min="1" max="1" width="16" customWidth="1"/>
    <col min="2" max="2" width="17" customWidth="1"/>
    <col min="3" max="3" width="7" customWidth="1"/>
    <col min="4" max="4" width="10" customWidth="1"/>
    <col min="5" max="5" width="14" customWidth="1"/>
    <col min="6" max="6" width="18" customWidth="1"/>
    <col min="7" max="7" width="20" customWidth="1"/>
    <col min="8" max="8" width="22" customWidth="1"/>
    <col min="9" max="9" width="18" customWidth="1"/>
    <col min="10" max="10" width="19" customWidth="1"/>
    <col min="11" max="11" width="20" customWidth="1"/>
    <col min="12" max="12" width="12" customWidth="1"/>
    <col min="13" max="13" width="10" customWidth="1"/>
    <col min="14" max="14" width="19"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6" hidden="1" x14ac:dyDescent="0.25">
      <c r="A2">
        <v>1001</v>
      </c>
      <c r="B2" t="s">
        <v>14</v>
      </c>
      <c r="C2">
        <v>25</v>
      </c>
      <c r="D2" t="s">
        <v>15</v>
      </c>
      <c r="E2" t="s">
        <v>16</v>
      </c>
      <c r="F2" t="s">
        <v>16</v>
      </c>
      <c r="G2" t="s">
        <v>17</v>
      </c>
      <c r="H2" t="s">
        <v>18</v>
      </c>
      <c r="I2" t="s">
        <v>19</v>
      </c>
      <c r="J2" t="s">
        <v>20</v>
      </c>
      <c r="K2" t="s">
        <v>21</v>
      </c>
      <c r="L2" t="s">
        <v>22</v>
      </c>
      <c r="M2">
        <v>2</v>
      </c>
      <c r="N2">
        <v>4</v>
      </c>
      <c r="P2">
        <f>COUNTA(A2:A11)</f>
        <v>10</v>
      </c>
    </row>
    <row r="3" spans="1:16" hidden="1" x14ac:dyDescent="0.25">
      <c r="A3">
        <v>1002</v>
      </c>
      <c r="B3" t="s">
        <v>23</v>
      </c>
      <c r="C3">
        <v>30</v>
      </c>
      <c r="D3" t="s">
        <v>24</v>
      </c>
      <c r="E3" t="s">
        <v>25</v>
      </c>
      <c r="F3" t="s">
        <v>26</v>
      </c>
      <c r="G3" t="s">
        <v>27</v>
      </c>
      <c r="H3" t="s">
        <v>28</v>
      </c>
      <c r="I3" t="s">
        <v>29</v>
      </c>
      <c r="J3" t="s">
        <v>30</v>
      </c>
      <c r="K3" t="s">
        <v>21</v>
      </c>
      <c r="L3" t="s">
        <v>31</v>
      </c>
      <c r="M3">
        <v>3</v>
      </c>
      <c r="N3">
        <v>4</v>
      </c>
      <c r="P3">
        <f>AVERAGE(M2:M11)</f>
        <v>2.2999999999999998</v>
      </c>
    </row>
    <row r="4" spans="1:16" hidden="1" x14ac:dyDescent="0.25">
      <c r="A4">
        <v>1003</v>
      </c>
      <c r="B4" t="s">
        <v>32</v>
      </c>
      <c r="C4">
        <v>22</v>
      </c>
      <c r="D4" t="s">
        <v>15</v>
      </c>
      <c r="E4" t="s">
        <v>33</v>
      </c>
      <c r="F4" t="s">
        <v>34</v>
      </c>
      <c r="G4" t="s">
        <v>17</v>
      </c>
      <c r="H4" t="s">
        <v>35</v>
      </c>
      <c r="I4" t="s">
        <v>36</v>
      </c>
      <c r="J4" t="s">
        <v>37</v>
      </c>
      <c r="K4" t="s">
        <v>21</v>
      </c>
      <c r="L4" t="s">
        <v>22</v>
      </c>
      <c r="M4">
        <v>1</v>
      </c>
      <c r="N4">
        <v>7</v>
      </c>
      <c r="P4">
        <f>MAX(N2:N11)</f>
        <v>8</v>
      </c>
    </row>
    <row r="5" spans="1:16" hidden="1" x14ac:dyDescent="0.25">
      <c r="A5">
        <v>1004</v>
      </c>
      <c r="B5" t="s">
        <v>38</v>
      </c>
      <c r="C5">
        <v>27</v>
      </c>
      <c r="D5" t="s">
        <v>24</v>
      </c>
      <c r="E5" t="s">
        <v>39</v>
      </c>
      <c r="F5" t="s">
        <v>40</v>
      </c>
      <c r="G5" t="s">
        <v>41</v>
      </c>
      <c r="H5" t="s">
        <v>42</v>
      </c>
      <c r="I5" t="s">
        <v>43</v>
      </c>
      <c r="J5" t="s">
        <v>44</v>
      </c>
      <c r="K5" t="s">
        <v>21</v>
      </c>
      <c r="L5" t="s">
        <v>31</v>
      </c>
      <c r="M5">
        <v>2</v>
      </c>
      <c r="N5">
        <v>4</v>
      </c>
    </row>
    <row r="6" spans="1:16" hidden="1" x14ac:dyDescent="0.25">
      <c r="A6">
        <v>1005</v>
      </c>
      <c r="B6" t="s">
        <v>45</v>
      </c>
      <c r="C6">
        <v>35</v>
      </c>
      <c r="D6" t="s">
        <v>15</v>
      </c>
      <c r="E6" t="s">
        <v>46</v>
      </c>
      <c r="F6" t="s">
        <v>47</v>
      </c>
      <c r="G6" t="s">
        <v>27</v>
      </c>
      <c r="H6" t="s">
        <v>48</v>
      </c>
      <c r="I6" t="s">
        <v>20</v>
      </c>
      <c r="J6" t="s">
        <v>49</v>
      </c>
      <c r="K6" t="s">
        <v>50</v>
      </c>
      <c r="L6" t="s">
        <v>22</v>
      </c>
      <c r="M6">
        <v>2</v>
      </c>
      <c r="N6">
        <v>7</v>
      </c>
    </row>
    <row r="7" spans="1:16" hidden="1" x14ac:dyDescent="0.25">
      <c r="A7">
        <v>1006</v>
      </c>
      <c r="B7" t="s">
        <v>51</v>
      </c>
      <c r="C7">
        <v>29</v>
      </c>
      <c r="D7" t="s">
        <v>24</v>
      </c>
      <c r="E7" t="s">
        <v>52</v>
      </c>
      <c r="F7" t="s">
        <v>53</v>
      </c>
      <c r="G7" t="s">
        <v>17</v>
      </c>
      <c r="H7" t="s">
        <v>54</v>
      </c>
      <c r="I7" t="s">
        <v>30</v>
      </c>
      <c r="J7" t="s">
        <v>55</v>
      </c>
      <c r="K7" t="s">
        <v>21</v>
      </c>
      <c r="L7" t="s">
        <v>56</v>
      </c>
      <c r="M7">
        <v>4</v>
      </c>
      <c r="N7">
        <v>3</v>
      </c>
    </row>
    <row r="8" spans="1:16" x14ac:dyDescent="0.25">
      <c r="A8">
        <v>1007</v>
      </c>
      <c r="B8" t="s">
        <v>57</v>
      </c>
      <c r="C8">
        <v>31</v>
      </c>
      <c r="D8" t="s">
        <v>15</v>
      </c>
      <c r="E8" t="s">
        <v>58</v>
      </c>
      <c r="F8" t="s">
        <v>59</v>
      </c>
      <c r="G8" t="s">
        <v>41</v>
      </c>
      <c r="H8" t="s">
        <v>60</v>
      </c>
      <c r="I8" t="s">
        <v>61</v>
      </c>
      <c r="J8" t="s">
        <v>62</v>
      </c>
      <c r="K8" t="s">
        <v>63</v>
      </c>
      <c r="L8" t="s">
        <v>22</v>
      </c>
      <c r="M8">
        <v>1</v>
      </c>
      <c r="N8">
        <v>8</v>
      </c>
    </row>
    <row r="9" spans="1:16" hidden="1" x14ac:dyDescent="0.25">
      <c r="A9">
        <v>1008</v>
      </c>
      <c r="B9" t="s">
        <v>64</v>
      </c>
      <c r="C9">
        <v>26</v>
      </c>
      <c r="D9" t="s">
        <v>24</v>
      </c>
      <c r="E9" t="s">
        <v>65</v>
      </c>
      <c r="F9" t="s">
        <v>66</v>
      </c>
      <c r="G9" t="s">
        <v>17</v>
      </c>
      <c r="H9" t="s">
        <v>67</v>
      </c>
      <c r="I9" t="s">
        <v>44</v>
      </c>
      <c r="J9" t="s">
        <v>68</v>
      </c>
      <c r="K9" t="s">
        <v>21</v>
      </c>
      <c r="L9" t="s">
        <v>31</v>
      </c>
      <c r="M9">
        <v>3</v>
      </c>
      <c r="N9">
        <v>3</v>
      </c>
    </row>
    <row r="10" spans="1:16" hidden="1" x14ac:dyDescent="0.25">
      <c r="A10">
        <v>1009</v>
      </c>
      <c r="B10" t="s">
        <v>69</v>
      </c>
      <c r="C10">
        <v>28</v>
      </c>
      <c r="D10" t="s">
        <v>15</v>
      </c>
      <c r="E10" t="s">
        <v>70</v>
      </c>
      <c r="F10" t="s">
        <v>71</v>
      </c>
      <c r="G10" t="s">
        <v>27</v>
      </c>
      <c r="H10" t="s">
        <v>72</v>
      </c>
      <c r="I10" t="s">
        <v>55</v>
      </c>
      <c r="J10" t="s">
        <v>73</v>
      </c>
      <c r="K10" t="s">
        <v>21</v>
      </c>
      <c r="L10" t="s">
        <v>56</v>
      </c>
      <c r="M10">
        <v>4</v>
      </c>
      <c r="N10">
        <v>4</v>
      </c>
    </row>
    <row r="11" spans="1:16" hidden="1" x14ac:dyDescent="0.25">
      <c r="A11">
        <v>1010</v>
      </c>
      <c r="B11" t="s">
        <v>74</v>
      </c>
      <c r="C11">
        <v>24</v>
      </c>
      <c r="D11" t="s">
        <v>24</v>
      </c>
      <c r="E11" t="s">
        <v>16</v>
      </c>
      <c r="F11" t="s">
        <v>16</v>
      </c>
      <c r="G11" t="s">
        <v>41</v>
      </c>
      <c r="H11" t="s">
        <v>18</v>
      </c>
      <c r="I11" t="s">
        <v>37</v>
      </c>
      <c r="J11" t="s">
        <v>75</v>
      </c>
      <c r="K11" t="s">
        <v>50</v>
      </c>
      <c r="L11" t="s">
        <v>22</v>
      </c>
      <c r="M11">
        <v>1</v>
      </c>
      <c r="N11">
        <v>8</v>
      </c>
    </row>
  </sheetData>
  <conditionalFormatting sqref="M2:M11">
    <cfRule type="cellIs" dxfId="1" priority="2" operator="lessThan">
      <formula>3</formula>
    </cfRule>
  </conditionalFormatting>
  <conditionalFormatting sqref="N2:N11">
    <cfRule type="cellIs" dxfId="0" priority="1" operator="greaterThan">
      <formula>6</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A4" sqref="A4:A9"/>
    </sheetView>
  </sheetViews>
  <sheetFormatPr defaultRowHeight="15" x14ac:dyDescent="0.25"/>
  <cols>
    <col min="1" max="1" width="15.7109375" bestFit="1" customWidth="1"/>
    <col min="2" max="2" width="21.42578125" bestFit="1" customWidth="1"/>
  </cols>
  <sheetData>
    <row r="3" spans="1:2" x14ac:dyDescent="0.25">
      <c r="A3" s="2" t="s">
        <v>76</v>
      </c>
      <c r="B3" t="s">
        <v>78</v>
      </c>
    </row>
    <row r="4" spans="1:2" x14ac:dyDescent="0.25">
      <c r="A4" s="3" t="s">
        <v>34</v>
      </c>
      <c r="B4" s="4">
        <v>1</v>
      </c>
    </row>
    <row r="5" spans="1:2" x14ac:dyDescent="0.25">
      <c r="A5" s="3" t="s">
        <v>16</v>
      </c>
      <c r="B5" s="4">
        <v>2</v>
      </c>
    </row>
    <row r="6" spans="1:2" x14ac:dyDescent="0.25">
      <c r="A6" s="3" t="s">
        <v>71</v>
      </c>
      <c r="B6" s="4">
        <v>1</v>
      </c>
    </row>
    <row r="7" spans="1:2" x14ac:dyDescent="0.25">
      <c r="A7" s="3" t="s">
        <v>66</v>
      </c>
      <c r="B7" s="4">
        <v>1</v>
      </c>
    </row>
    <row r="8" spans="1:2" x14ac:dyDescent="0.25">
      <c r="A8" s="3" t="s">
        <v>59</v>
      </c>
      <c r="B8" s="4">
        <v>1</v>
      </c>
    </row>
    <row r="9" spans="1:2" x14ac:dyDescent="0.25">
      <c r="A9" s="3" t="s">
        <v>26</v>
      </c>
      <c r="B9" s="4">
        <v>1</v>
      </c>
    </row>
    <row r="10" spans="1:2" x14ac:dyDescent="0.25">
      <c r="A10" s="3" t="s">
        <v>53</v>
      </c>
      <c r="B10" s="4">
        <v>1</v>
      </c>
    </row>
    <row r="11" spans="1:2" x14ac:dyDescent="0.25">
      <c r="A11" s="3" t="s">
        <v>40</v>
      </c>
      <c r="B11" s="4">
        <v>1</v>
      </c>
    </row>
    <row r="12" spans="1:2" x14ac:dyDescent="0.25">
      <c r="A12" s="3" t="s">
        <v>47</v>
      </c>
      <c r="B12" s="4">
        <v>1</v>
      </c>
    </row>
    <row r="13" spans="1:2" x14ac:dyDescent="0.25">
      <c r="A13" s="3" t="s">
        <v>77</v>
      </c>
      <c r="B13" s="4">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S1" sqref="P1:S4"/>
    </sheetView>
  </sheetViews>
  <sheetFormatPr defaultRowHeight="15" x14ac:dyDescent="0.25"/>
  <cols>
    <col min="1" max="1" width="13.140625" bestFit="1" customWidth="1"/>
    <col min="2" max="2" width="19.85546875" bestFit="1" customWidth="1"/>
  </cols>
  <sheetData>
    <row r="3" spans="1:2" x14ac:dyDescent="0.25">
      <c r="A3" s="2" t="s">
        <v>76</v>
      </c>
      <c r="B3" t="s">
        <v>79</v>
      </c>
    </row>
    <row r="4" spans="1:2" x14ac:dyDescent="0.25">
      <c r="A4" s="3" t="s">
        <v>21</v>
      </c>
      <c r="B4" s="4">
        <v>7033</v>
      </c>
    </row>
    <row r="5" spans="1:2" x14ac:dyDescent="0.25">
      <c r="A5" s="3" t="s">
        <v>63</v>
      </c>
      <c r="B5" s="4">
        <v>1007</v>
      </c>
    </row>
    <row r="6" spans="1:2" x14ac:dyDescent="0.25">
      <c r="A6" s="3" t="s">
        <v>50</v>
      </c>
      <c r="B6" s="4">
        <v>2015</v>
      </c>
    </row>
    <row r="7" spans="1:2" x14ac:dyDescent="0.25">
      <c r="A7" s="3" t="s">
        <v>77</v>
      </c>
      <c r="B7" s="4">
        <v>10055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3"/>
  <sheetViews>
    <sheetView tabSelected="1" workbookViewId="0">
      <selection activeCell="M36" sqref="M36"/>
    </sheetView>
  </sheetViews>
  <sheetFormatPr defaultRowHeight="15" x14ac:dyDescent="0.25"/>
  <cols>
    <col min="2" max="2" width="27" customWidth="1"/>
    <col min="3" max="3" width="10.7109375" customWidth="1"/>
    <col min="5" max="5" width="23.140625" customWidth="1"/>
    <col min="6" max="6" width="10.42578125" customWidth="1"/>
    <col min="8" max="8" width="32.140625" customWidth="1"/>
  </cols>
  <sheetData>
    <row r="2" spans="1:9" ht="21" x14ac:dyDescent="0.35">
      <c r="A2" s="5"/>
      <c r="B2" s="8" t="s">
        <v>80</v>
      </c>
      <c r="C2" s="8">
        <v>10</v>
      </c>
      <c r="D2" s="6"/>
      <c r="E2" s="8" t="s">
        <v>81</v>
      </c>
      <c r="F2" s="8">
        <v>2.2999999999999998</v>
      </c>
      <c r="G2" s="6"/>
      <c r="H2" s="8" t="s">
        <v>82</v>
      </c>
      <c r="I2" s="8">
        <v>8</v>
      </c>
    </row>
    <row r="33" spans="8:8" x14ac:dyDescent="0.25">
      <c r="H33" s="7"/>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Complaints_Data</vt:lpstr>
      <vt:lpstr>Sheet1</vt:lpstr>
      <vt:lpstr>Sheet2</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2026-05-22T16:10:34Z</dcterms:created>
  <dcterms:modified xsi:type="dcterms:W3CDTF">2026-05-23T14:25:51Z</dcterms:modified>
</cp:coreProperties>
</file>